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09914AB5-BF8D-4A0D-B783-6884B4DBBBFB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D7" i="1" s="1"/>
  <c r="J4" i="1" s="1"/>
  <c r="J11" i="1" s="1"/>
  <c r="H5" i="1"/>
  <c r="H6" i="1"/>
  <c r="H7" i="1" l="1"/>
  <c r="B41" i="2"/>
  <c r="B36" i="2"/>
  <c r="B31" i="2"/>
  <c r="B26" i="2"/>
  <c r="B21" i="2"/>
  <c r="B16" i="2"/>
  <c r="B11" i="2"/>
  <c r="B6" i="2"/>
  <c r="H71" i="1"/>
  <c r="H65" i="1"/>
  <c r="H59" i="1"/>
  <c r="H52" i="1"/>
  <c r="H46" i="1"/>
  <c r="H39" i="1"/>
  <c r="H40" i="1" s="1"/>
  <c r="H18" i="1"/>
  <c r="H23" i="1" s="1"/>
  <c r="H12" i="1"/>
  <c r="H13" i="1" s="1"/>
  <c r="E7" i="1"/>
  <c r="I17" i="1" l="1"/>
  <c r="I22" i="1" s="1"/>
  <c r="I27" i="1" s="1"/>
  <c r="I32" i="1" s="1"/>
  <c r="I38" i="1" s="1"/>
  <c r="I44" i="1" s="1"/>
  <c r="I50" i="1" s="1"/>
  <c r="I57" i="1" s="1"/>
  <c r="H60" i="1" s="1"/>
  <c r="H24" i="1"/>
  <c r="H28" i="1"/>
  <c r="A7" i="1"/>
  <c r="H19" i="1"/>
  <c r="I63" i="1" l="1"/>
  <c r="I69" i="1" s="1"/>
  <c r="H72" i="1" s="1"/>
  <c r="H20" i="1"/>
  <c r="H25" i="1"/>
  <c r="H53" i="1"/>
  <c r="H47" i="1"/>
  <c r="H14" i="1"/>
  <c r="H41" i="1"/>
  <c r="H33" i="1"/>
  <c r="H34" i="1" s="1"/>
  <c r="H35" i="1" s="1"/>
  <c r="H29" i="1"/>
  <c r="H30" i="1" s="1"/>
  <c r="H66" i="1" l="1"/>
</calcChain>
</file>

<file path=xl/sharedStrings.xml><?xml version="1.0" encoding="utf-8"?>
<sst xmlns="http://schemas.openxmlformats.org/spreadsheetml/2006/main" count="220" uniqueCount="73">
  <si>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</si>
  <si>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</si>
  <si>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</si>
  <si>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</si>
  <si>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</si>
  <si>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</si>
  <si>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</si>
  <si>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</si>
  <si>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</si>
  <si>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</si>
  <si>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</si>
  <si>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</si>
  <si>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</si>
  <si>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</si>
  <si>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</si>
  <si>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</si>
  <si>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</si>
  <si>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</si>
  <si>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</si>
  <si>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</si>
  <si>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</si>
  <si>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</si>
  <si>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</si>
  <si>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</si>
  <si>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</si>
  <si>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</si>
  <si>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</si>
  <si>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</si>
  <si>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</si>
  <si>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</si>
  <si>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</si>
  <si>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</si>
  <si>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</si>
  <si>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</si>
  <si>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</si>
  <si>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</si>
  <si>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</si>
  <si>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</si>
  <si>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</si>
  <si>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</si>
  <si>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</si>
  <si>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</si>
  <si>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</si>
  <si>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</si>
  <si>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</si>
  <si>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</si>
  <si>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</si>
  <si>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</si>
  <si>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</si>
  <si>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</si>
  <si>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</si>
  <si>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</si>
  <si>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</si>
  <si>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</si>
  <si>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</si>
  <si>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</si>
  <si>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</si>
  <si>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</si>
  <si>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</si>
  <si>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</si>
  <si>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</si>
  <si>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</si>
  <si>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</si>
  <si>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</si>
  <si>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</si>
  <si>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</si>
  <si>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Added new sign textures</t>
  </si>
  <si>
    <t>Added new bed textures</t>
  </si>
  <si>
    <t>Removed unnecessary models</t>
  </si>
  <si>
    <t xml:space="preserve">Optimized resource pack </t>
  </si>
  <si>
    <t>Updated small sulfur cube texture</t>
  </si>
  <si>
    <t>Updated pack format to 88</t>
  </si>
  <si>
    <t>Classic Reimagined 11 version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</si>
</sst>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2" xfId="0" applyFont="1" applyBorder="1"/>
    <xf numFmtId="0" fontId="6" fillId="0" borderId="4" xfId="0" applyFont="1" applyBorder="1"/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6" fillId="7" borderId="2" xfId="0" applyFont="1" applyFill="1" applyBorder="1"/>
    <xf numFmtId="0" fontId="6" fillId="7" borderId="3" xfId="0" applyFont="1" applyFill="1" applyBorder="1"/>
    <xf numFmtId="0" fontId="6" fillId="7" borderId="4" xfId="0" applyFont="1" applyFill="1" applyBorder="1"/>
    <xf numFmtId="0" fontId="6" fillId="0" borderId="2" xfId="0" applyFont="1" applyBorder="1" applyAlignment="1">
      <alignment vertical="top"/>
    </xf>
    <xf numFmtId="0" fontId="6" fillId="0" borderId="3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4" fillId="3" borderId="5" xfId="0" applyFont="1" applyFill="1" applyBorder="1"/>
    <xf numFmtId="49" fontId="6" fillId="0" borderId="3" xfId="0" applyNumberFormat="1" applyFont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10" borderId="0" xfId="0" applyFont="1" applyFill="1"/>
    <xf numFmtId="0" fontId="5" fillId="10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zoomScale="85" zoomScaleNormal="85" workbookViewId="0">
      <selection activeCell="E28" sqref="E28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37" t="s">
        <v>0</v>
      </c>
      <c r="B1" s="38"/>
      <c r="C1" s="38"/>
      <c r="D1" s="38"/>
      <c r="E1" s="39"/>
      <c r="G1" s="33" t="s">
        <v>72</v>
      </c>
      <c r="H1" s="34"/>
      <c r="I1" s="34"/>
      <c r="J1" s="34"/>
      <c r="K1" s="34"/>
    </row>
    <row r="2" spans="1:11" x14ac:dyDescent="0.3">
      <c r="A2" s="32" t="s">
        <v>62</v>
      </c>
      <c r="B2" s="35">
        <v>5</v>
      </c>
      <c r="G2" s="8" t="s">
        <v>5</v>
      </c>
    </row>
    <row r="3" spans="1:11" x14ac:dyDescent="0.3">
      <c r="A3" s="32" t="s">
        <v>64</v>
      </c>
      <c r="B3" s="35">
        <v>2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32" t="s">
        <v>63</v>
      </c>
      <c r="B4" s="35">
        <v>6</v>
      </c>
      <c r="G4" s="10" t="s">
        <v>11</v>
      </c>
      <c r="H4" s="10">
        <v>11</v>
      </c>
      <c r="I4" s="10">
        <v>2</v>
      </c>
      <c r="J4" s="10" t="str">
        <f>D7</f>
        <v>5206-rt5</v>
      </c>
      <c r="K4" s="10">
        <v>26.2</v>
      </c>
    </row>
    <row r="5" spans="1:11" x14ac:dyDescent="0.3">
      <c r="A5" s="32" t="s">
        <v>65</v>
      </c>
      <c r="B5" s="36">
        <f>(B2*1000)+(B3*100)+B4</f>
        <v>5206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40" t="s">
        <v>2</v>
      </c>
      <c r="B6" s="41"/>
      <c r="C6" s="42"/>
      <c r="D6" s="9" t="s">
        <v>3</v>
      </c>
      <c r="E6" s="18" t="s">
        <v>4</v>
      </c>
      <c r="G6" s="11" t="s">
        <v>14</v>
      </c>
      <c r="H6" s="12" t="str">
        <f>G4 &amp; "." &amp; H4 &amp; "_" &amp; I4 &amp; "-" &amp; H5</f>
        <v>v10.0.11_2-Classic_Reimagined_11_SE_2.1</v>
      </c>
      <c r="I6" s="13"/>
      <c r="J6" s="14"/>
      <c r="K6" s="15"/>
    </row>
    <row r="7" spans="1:11" x14ac:dyDescent="0.3">
      <c r="A7" s="19" t="str">
        <f>G11 &amp; "." &amp; H11 &amp; "_" &amp; I11 &amp; "-build-" &amp; D7</f>
        <v>v10.0.11_1-build-5206-rt5</v>
      </c>
      <c r="B7" s="30"/>
      <c r="C7" s="20"/>
      <c r="D7" s="10" t="str">
        <f>B5&amp;"-rt"&amp;B2</f>
        <v>5206-rt5</v>
      </c>
      <c r="E7" s="21">
        <f>K11</f>
        <v>26.1</v>
      </c>
      <c r="G7" s="11" t="s">
        <v>15</v>
      </c>
      <c r="H7" s="12" t="str">
        <f>H6 &amp; "-build-" &amp; J4</f>
        <v>v10.0.11_2-Classic_Reimagined_11_SE_2.1-build-5206-rt5</v>
      </c>
      <c r="I7" s="13"/>
      <c r="J7" s="14"/>
    </row>
    <row r="8" spans="1:11" x14ac:dyDescent="0.3">
      <c r="A8" s="22" t="s">
        <v>8</v>
      </c>
      <c r="B8" s="31" t="s">
        <v>9</v>
      </c>
      <c r="C8" s="23" t="s">
        <v>10</v>
      </c>
      <c r="D8" s="24"/>
      <c r="E8" s="25"/>
      <c r="G8" s="7" t="s">
        <v>1</v>
      </c>
      <c r="H8" s="7"/>
      <c r="I8" s="7"/>
      <c r="J8" s="7"/>
      <c r="K8" s="7"/>
    </row>
    <row r="9" spans="1:11" x14ac:dyDescent="0.3">
      <c r="A9" s="6" t="s">
        <v>67</v>
      </c>
      <c r="C9" s="26" t="s">
        <v>12</v>
      </c>
      <c r="D9" s="27"/>
      <c r="E9" s="28"/>
      <c r="G9" s="8" t="s">
        <v>5</v>
      </c>
    </row>
    <row r="10" spans="1:11" x14ac:dyDescent="0.3">
      <c r="A10" s="6" t="s">
        <v>66</v>
      </c>
      <c r="G10" s="9" t="s">
        <v>2</v>
      </c>
      <c r="H10" s="9" t="s">
        <v>6</v>
      </c>
      <c r="I10" s="9" t="s">
        <v>7</v>
      </c>
      <c r="J10" s="9" t="s">
        <v>3</v>
      </c>
      <c r="K10" s="9" t="s">
        <v>4</v>
      </c>
    </row>
    <row r="11" spans="1:11" x14ac:dyDescent="0.3">
      <c r="A11" s="6" t="s">
        <v>69</v>
      </c>
      <c r="G11" s="10" t="s">
        <v>11</v>
      </c>
      <c r="H11" s="10">
        <v>11</v>
      </c>
      <c r="I11" s="10">
        <v>1</v>
      </c>
      <c r="J11" s="10" t="str">
        <f>J4</f>
        <v>5206-rt5</v>
      </c>
      <c r="K11" s="10">
        <v>26.1</v>
      </c>
    </row>
    <row r="12" spans="1:11" x14ac:dyDescent="0.3">
      <c r="A12" s="6" t="s">
        <v>68</v>
      </c>
      <c r="G12" s="11" t="s">
        <v>13</v>
      </c>
      <c r="H12" s="12" t="str">
        <f>"Classic_Reimagined_10" &amp; G9</f>
        <v>Classic_Reimagined_10_SE_2.1</v>
      </c>
      <c r="I12" s="13"/>
      <c r="J12" s="14"/>
      <c r="K12" s="15"/>
    </row>
    <row r="13" spans="1:11" x14ac:dyDescent="0.3">
      <c r="A13" s="6" t="s">
        <v>70</v>
      </c>
      <c r="G13" s="11" t="s">
        <v>14</v>
      </c>
      <c r="H13" s="12" t="str">
        <f>G11 &amp; "." &amp; H11 &amp; "_" &amp; I11 &amp; "-" &amp; H12</f>
        <v>v10.0.11_1-Classic_Reimagined_10_SE_2.1</v>
      </c>
      <c r="I13" s="13"/>
      <c r="J13" s="14"/>
      <c r="K13" s="15"/>
    </row>
    <row r="14" spans="1:11" x14ac:dyDescent="0.3">
      <c r="A14" s="6" t="s">
        <v>71</v>
      </c>
      <c r="G14" s="11" t="s">
        <v>15</v>
      </c>
      <c r="H14" s="12" t="str">
        <f>H13 &amp; "-build-" &amp; J11</f>
        <v>v10.0.11_1-Classic_Reimagined_10_SE_2.1-build-5206-rt5</v>
      </c>
      <c r="I14" s="13"/>
      <c r="J14" s="14"/>
    </row>
    <row r="15" spans="1:11" x14ac:dyDescent="0.3">
      <c r="G15" s="8" t="s">
        <v>16</v>
      </c>
    </row>
    <row r="16" spans="1:11" x14ac:dyDescent="0.3">
      <c r="G16" s="9" t="s">
        <v>17</v>
      </c>
      <c r="H16" s="9" t="s">
        <v>6</v>
      </c>
      <c r="I16" s="9" t="s">
        <v>3</v>
      </c>
      <c r="J16" s="9" t="s">
        <v>4</v>
      </c>
    </row>
    <row r="17" spans="7:10" x14ac:dyDescent="0.3">
      <c r="G17" s="10" t="s">
        <v>11</v>
      </c>
      <c r="H17" s="10">
        <v>10</v>
      </c>
      <c r="I17" s="10" t="str">
        <f>J11</f>
        <v>5206-rt5</v>
      </c>
      <c r="J17" s="10" t="s">
        <v>18</v>
      </c>
    </row>
    <row r="18" spans="7:10" x14ac:dyDescent="0.3">
      <c r="G18" s="11" t="s">
        <v>13</v>
      </c>
      <c r="H18" s="16" t="str">
        <f>"Classic_Reimagined_10" &amp; G15</f>
        <v>Classic_Reimagined_10_SE_2</v>
      </c>
      <c r="I18" s="17"/>
      <c r="J18" s="15"/>
    </row>
    <row r="19" spans="7:10" x14ac:dyDescent="0.3">
      <c r="G19" s="11" t="s">
        <v>14</v>
      </c>
      <c r="H19" s="16" t="str">
        <f>G17 &amp; "." &amp; H17 &amp; "-" &amp; H18</f>
        <v>v10.0.10-Classic_Reimagined_10_SE_2</v>
      </c>
      <c r="I19" s="17"/>
      <c r="J19" s="15"/>
    </row>
    <row r="20" spans="7:10" x14ac:dyDescent="0.3">
      <c r="G20" s="11" t="s">
        <v>15</v>
      </c>
      <c r="H20" s="16" t="str">
        <f>H19 &amp; "-build-" &amp; I17</f>
        <v>v10.0.10-Classic_Reimagined_10_SE_2-build-5206-rt5</v>
      </c>
      <c r="I20" s="17"/>
    </row>
    <row r="21" spans="7:10" x14ac:dyDescent="0.3">
      <c r="G21" s="9" t="s">
        <v>17</v>
      </c>
      <c r="H21" s="9" t="s">
        <v>6</v>
      </c>
      <c r="I21" s="9" t="s">
        <v>3</v>
      </c>
      <c r="J21" s="9" t="s">
        <v>4</v>
      </c>
    </row>
    <row r="22" spans="7:10" x14ac:dyDescent="0.3">
      <c r="G22" s="10" t="s">
        <v>11</v>
      </c>
      <c r="H22" s="10">
        <v>9</v>
      </c>
      <c r="I22" s="10" t="str">
        <f>I17</f>
        <v>5206-rt5</v>
      </c>
      <c r="J22" s="10" t="s">
        <v>19</v>
      </c>
    </row>
    <row r="23" spans="7:10" x14ac:dyDescent="0.3">
      <c r="G23" s="11" t="s">
        <v>13</v>
      </c>
      <c r="H23" s="16" t="str">
        <f>H18</f>
        <v>Classic_Reimagined_10_SE_2</v>
      </c>
      <c r="I23" s="17"/>
      <c r="J23" s="15"/>
    </row>
    <row r="24" spans="7:10" x14ac:dyDescent="0.3">
      <c r="G24" s="11" t="s">
        <v>14</v>
      </c>
      <c r="H24" s="16" t="str">
        <f>G22 &amp; "." &amp; H22 &amp; "-" &amp; H23</f>
        <v>v10.0.9-Classic_Reimagined_10_SE_2</v>
      </c>
      <c r="I24" s="17"/>
      <c r="J24" s="15"/>
    </row>
    <row r="25" spans="7:10" x14ac:dyDescent="0.3">
      <c r="G25" s="11" t="s">
        <v>15</v>
      </c>
      <c r="H25" s="16" t="str">
        <f>H24 &amp; "-build-" &amp; I22</f>
        <v>v10.0.9-Classic_Reimagined_10_SE_2-build-5206-rt5</v>
      </c>
      <c r="I25" s="17"/>
    </row>
    <row r="26" spans="7:10" x14ac:dyDescent="0.3">
      <c r="G26" s="9" t="s">
        <v>17</v>
      </c>
      <c r="H26" s="9" t="s">
        <v>6</v>
      </c>
      <c r="I26" s="9" t="s">
        <v>3</v>
      </c>
      <c r="J26" s="9" t="s">
        <v>4</v>
      </c>
    </row>
    <row r="27" spans="7:10" x14ac:dyDescent="0.3">
      <c r="G27" s="10" t="s">
        <v>11</v>
      </c>
      <c r="H27" s="10">
        <v>7</v>
      </c>
      <c r="I27" s="10" t="str">
        <f>I22</f>
        <v>5206-rt5</v>
      </c>
      <c r="J27" s="10" t="s">
        <v>20</v>
      </c>
    </row>
    <row r="28" spans="7:10" x14ac:dyDescent="0.3">
      <c r="G28" s="11" t="s">
        <v>13</v>
      </c>
      <c r="H28" s="16" t="str">
        <f>H23</f>
        <v>Classic_Reimagined_10_SE_2</v>
      </c>
      <c r="I28" s="17"/>
      <c r="J28" s="15"/>
    </row>
    <row r="29" spans="7:10" x14ac:dyDescent="0.3">
      <c r="G29" s="11" t="s">
        <v>14</v>
      </c>
      <c r="H29" s="16" t="str">
        <f>G27 &amp; "." &amp; H27 &amp; "-" &amp; H28</f>
        <v>v10.0.7-Classic_Reimagined_10_SE_2</v>
      </c>
      <c r="I29" s="17"/>
      <c r="J29" s="15"/>
    </row>
    <row r="30" spans="7:10" x14ac:dyDescent="0.3">
      <c r="G30" s="11" t="s">
        <v>15</v>
      </c>
      <c r="H30" s="16" t="str">
        <f>H29 &amp; "-build-" &amp; I27</f>
        <v>v10.0.7-Classic_Reimagined_10_SE_2-build-5206-rt5</v>
      </c>
      <c r="I30" s="17"/>
    </row>
    <row r="31" spans="7:10" x14ac:dyDescent="0.3">
      <c r="G31" s="9" t="s">
        <v>17</v>
      </c>
      <c r="H31" s="9" t="s">
        <v>6</v>
      </c>
      <c r="I31" s="9" t="s">
        <v>3</v>
      </c>
      <c r="J31" s="9" t="s">
        <v>4</v>
      </c>
    </row>
    <row r="32" spans="7:10" x14ac:dyDescent="0.3">
      <c r="G32" s="10" t="s">
        <v>11</v>
      </c>
      <c r="H32" s="10">
        <v>4</v>
      </c>
      <c r="I32" s="10" t="str">
        <f>I27</f>
        <v>5206-rt5</v>
      </c>
      <c r="J32" s="10" t="s">
        <v>21</v>
      </c>
    </row>
    <row r="33" spans="7:10" x14ac:dyDescent="0.3">
      <c r="G33" s="11" t="s">
        <v>13</v>
      </c>
      <c r="H33" s="16" t="str">
        <f>H28</f>
        <v>Classic_Reimagined_10_SE_2</v>
      </c>
      <c r="I33" s="17"/>
      <c r="J33" s="15"/>
    </row>
    <row r="34" spans="7:10" x14ac:dyDescent="0.3">
      <c r="G34" s="11" t="s">
        <v>14</v>
      </c>
      <c r="H34" s="16" t="str">
        <f>G32 &amp; "." &amp; H32 &amp; "-" &amp; H33</f>
        <v>v10.0.4-Classic_Reimagined_10_SE_2</v>
      </c>
      <c r="I34" s="17"/>
      <c r="J34" s="15"/>
    </row>
    <row r="35" spans="7:10" x14ac:dyDescent="0.3">
      <c r="G35" s="11" t="s">
        <v>15</v>
      </c>
      <c r="H35" s="16" t="str">
        <f>H34 &amp; "-build-" &amp; I32</f>
        <v>v10.0.4-Classic_Reimagined_10_SE_2-build-5206-rt5</v>
      </c>
      <c r="I35" s="17"/>
    </row>
    <row r="36" spans="7:10" x14ac:dyDescent="0.3">
      <c r="G36" s="8" t="s">
        <v>22</v>
      </c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3</v>
      </c>
      <c r="I38" s="10" t="str">
        <f>I32</f>
        <v>5206-rt5</v>
      </c>
      <c r="J38" s="10" t="s">
        <v>23</v>
      </c>
    </row>
    <row r="39" spans="7:10" x14ac:dyDescent="0.3">
      <c r="G39" s="11" t="s">
        <v>13</v>
      </c>
      <c r="H39" s="16" t="str">
        <f>"Classic_Reimagined_10" &amp; G36</f>
        <v>Classic_Reimagined_10_SE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v10.0.3-Classic_Reimagined_10_SE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v10.0.3-Classic_Reimagined_10_SE-build-5206-rt5</v>
      </c>
      <c r="I41" s="17"/>
    </row>
    <row r="42" spans="7:10" x14ac:dyDescent="0.3">
      <c r="G42" s="8" t="s">
        <v>24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2</v>
      </c>
      <c r="I44" s="10" t="str">
        <f>I38</f>
        <v>5206-rt5</v>
      </c>
      <c r="J44" s="10" t="s">
        <v>25</v>
      </c>
    </row>
    <row r="45" spans="7:10" x14ac:dyDescent="0.3">
      <c r="G45" s="11" t="s">
        <v>13</v>
      </c>
      <c r="H45" s="16" t="s">
        <v>26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v10.0.2-Classic_Reimagined_10s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v10.0.2-Classic_Reimagined_10s-build-5206-rt5</v>
      </c>
      <c r="I47" s="17"/>
    </row>
    <row r="48" spans="7:10" x14ac:dyDescent="0.3">
      <c r="G48" s="8" t="s">
        <v>27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1</v>
      </c>
      <c r="I50" s="10" t="str">
        <f>I44</f>
        <v>5206-rt5</v>
      </c>
      <c r="J50" s="10" t="s">
        <v>28</v>
      </c>
    </row>
    <row r="51" spans="7:10" x14ac:dyDescent="0.3">
      <c r="G51" s="11" t="s">
        <v>13</v>
      </c>
      <c r="H51" s="16" t="s">
        <v>29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v10.0.1-Classic_Reimagined_10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v10.0.1-Classic_Reimagined_10-build-5206-rt5</v>
      </c>
      <c r="I53" s="17"/>
    </row>
    <row r="54" spans="7:10" x14ac:dyDescent="0.3">
      <c r="G54" s="7" t="s">
        <v>30</v>
      </c>
      <c r="H54" s="7"/>
      <c r="I54" s="7"/>
      <c r="J54" s="7"/>
    </row>
    <row r="55" spans="7:10" x14ac:dyDescent="0.3">
      <c r="G55" s="8" t="s">
        <v>31</v>
      </c>
    </row>
    <row r="56" spans="7:10" x14ac:dyDescent="0.3">
      <c r="G56" s="9" t="s">
        <v>17</v>
      </c>
      <c r="H56" s="9" t="s">
        <v>6</v>
      </c>
      <c r="I56" s="9" t="s">
        <v>3</v>
      </c>
      <c r="J56" s="9" t="s">
        <v>4</v>
      </c>
    </row>
    <row r="57" spans="7:10" x14ac:dyDescent="0.3">
      <c r="G57" s="10" t="s">
        <v>32</v>
      </c>
      <c r="H57" s="10">
        <v>32</v>
      </c>
      <c r="I57" s="10" t="str">
        <f>I50</f>
        <v>5206-rt5</v>
      </c>
      <c r="J57" s="10" t="s">
        <v>33</v>
      </c>
    </row>
    <row r="58" spans="7:10" x14ac:dyDescent="0.3">
      <c r="G58" s="11" t="s">
        <v>13</v>
      </c>
      <c r="H58" s="16" t="s">
        <v>34</v>
      </c>
      <c r="I58" s="17"/>
      <c r="J58" s="15"/>
    </row>
    <row r="59" spans="7:10" x14ac:dyDescent="0.3">
      <c r="G59" s="11" t="s">
        <v>14</v>
      </c>
      <c r="H59" s="16" t="str">
        <f>G57 &amp; "." &amp; H57 &amp; "-" &amp; H58</f>
        <v>v8.10.32-Classic_Reimagined_8</v>
      </c>
      <c r="I59" s="17"/>
      <c r="J59" s="15"/>
    </row>
    <row r="60" spans="7:10" x14ac:dyDescent="0.3">
      <c r="G60" s="11" t="s">
        <v>15</v>
      </c>
      <c r="H60" s="16" t="str">
        <f>H59 &amp; "-build-" &amp; I57</f>
        <v>v8.10.32-Classic_Reimagined_8-build-5206-rt5</v>
      </c>
      <c r="I60" s="1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31</v>
      </c>
      <c r="I63" s="10" t="str">
        <f>I57</f>
        <v>5206-rt5</v>
      </c>
      <c r="J63" s="10" t="s">
        <v>35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v8.10.31-Classic_Reimagined_8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v8.10.31-Classic_Reimagined_8-build-5206-rt5</v>
      </c>
      <c r="I66" s="17"/>
    </row>
    <row r="67" spans="7:10" x14ac:dyDescent="0.3">
      <c r="G67" s="29" t="s">
        <v>36</v>
      </c>
      <c r="H67" s="29"/>
      <c r="I67" s="29"/>
      <c r="J67" s="29"/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37</v>
      </c>
      <c r="H69" s="10">
        <v>3</v>
      </c>
      <c r="I69" s="10" t="str">
        <f>I63</f>
        <v>5206-rt5</v>
      </c>
      <c r="J69" s="10" t="s">
        <v>38</v>
      </c>
    </row>
    <row r="70" spans="7:10" x14ac:dyDescent="0.3">
      <c r="G70" s="11" t="s">
        <v>13</v>
      </c>
      <c r="H70" s="16" t="s">
        <v>39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v7.11.3-Better_Default_7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v7.11.3-Better_Default_7-build-5206-rt5</v>
      </c>
      <c r="I72" s="17"/>
    </row>
  </sheetData>
  <sortState xmlns:xlrd2="http://schemas.microsoft.com/office/spreadsheetml/2017/richdata2" ref="A3:B4">
    <sortCondition descending="1" ref="A3:A4"/>
  </sortState>
  <mergeCells count="2">
    <mergeCell ref="A1:E1"/>
    <mergeCell ref="A6:C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5" t="s">
        <v>40</v>
      </c>
      <c r="B1" s="45"/>
      <c r="C1" s="45"/>
      <c r="D1" s="45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3" t="s">
        <v>45</v>
      </c>
      <c r="C5" s="44"/>
      <c r="D5" s="5"/>
    </row>
    <row r="6" spans="1:4" ht="16.5" x14ac:dyDescent="0.3">
      <c r="A6" s="4" t="s">
        <v>15</v>
      </c>
      <c r="B6" s="43" t="str">
        <f>A4 &amp; "." &amp; B4 &amp; "." &amp; C4 &amp; "-" &amp; B5</f>
        <v>v6.0.7-Better_Default_6</v>
      </c>
      <c r="C6" s="44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3" t="s">
        <v>49</v>
      </c>
      <c r="C10" s="44"/>
      <c r="D10" s="5"/>
    </row>
    <row r="11" spans="1:4" ht="16.5" x14ac:dyDescent="0.3">
      <c r="A11" s="4" t="s">
        <v>15</v>
      </c>
      <c r="B11" s="43" t="str">
        <f>A9 &amp; "." &amp; B9 &amp; "." &amp; C9 &amp; "-" &amp; B10</f>
        <v>v1.4.0-Better_Default_5</v>
      </c>
      <c r="C11" s="44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3" t="s">
        <v>52</v>
      </c>
      <c r="C15" s="44"/>
      <c r="D15" s="5"/>
    </row>
    <row r="16" spans="1:4" ht="16.5" x14ac:dyDescent="0.3">
      <c r="A16" s="4" t="s">
        <v>15</v>
      </c>
      <c r="B16" s="43" t="str">
        <f>A14 &amp; "." &amp; B14 &amp; "." &amp; C14 &amp; "-" &amp; B15</f>
        <v>v1.3.0-Better_Default_4</v>
      </c>
      <c r="C16" s="44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3" t="s">
        <v>55</v>
      </c>
      <c r="C20" s="44"/>
      <c r="D20" s="5"/>
    </row>
    <row r="21" spans="1:4" ht="16.5" x14ac:dyDescent="0.3">
      <c r="A21" s="4" t="s">
        <v>15</v>
      </c>
      <c r="B21" s="43" t="str">
        <f>A19 &amp; "." &amp; B19 &amp; "." &amp; C19 &amp; "-" &amp; B20</f>
        <v>v1.2.2-Better_Default_3.1</v>
      </c>
      <c r="C21" s="44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3" t="s">
        <v>56</v>
      </c>
      <c r="C25" s="44"/>
      <c r="D25" s="5"/>
    </row>
    <row r="26" spans="1:4" ht="16.5" x14ac:dyDescent="0.3">
      <c r="A26" s="4" t="s">
        <v>15</v>
      </c>
      <c r="B26" s="43" t="str">
        <f>A24 &amp; "." &amp; B24 &amp; "." &amp; C24 &amp; "-" &amp; B25</f>
        <v>v1.2.1-Better_Default_3</v>
      </c>
      <c r="C26" s="44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3" t="s">
        <v>58</v>
      </c>
      <c r="C30" s="44"/>
      <c r="D30" s="5"/>
    </row>
    <row r="31" spans="1:4" ht="16.5" x14ac:dyDescent="0.3">
      <c r="A31" s="4" t="s">
        <v>15</v>
      </c>
      <c r="B31" s="43" t="str">
        <f>A29 &amp; "." &amp; B29 &amp; "." &amp; C29 &amp; "-" &amp; B30</f>
        <v>v1.2.0-Better_Default_2</v>
      </c>
      <c r="C31" s="44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3" t="s">
        <v>60</v>
      </c>
      <c r="C35" s="44"/>
      <c r="D35" s="5"/>
    </row>
    <row r="36" spans="1:4" ht="16.5" x14ac:dyDescent="0.3">
      <c r="A36" s="4" t="s">
        <v>15</v>
      </c>
      <c r="B36" s="43" t="str">
        <f>A34 &amp; "." &amp; B34 &amp; "." &amp; C34 &amp; "-" &amp; B35</f>
        <v>v1.1.1-Better_Default</v>
      </c>
      <c r="C36" s="44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3" t="s">
        <v>60</v>
      </c>
      <c r="C40" s="44"/>
      <c r="D40" s="5"/>
    </row>
    <row r="41" spans="1:4" ht="16.5" x14ac:dyDescent="0.3">
      <c r="A41" s="4" t="s">
        <v>15</v>
      </c>
      <c r="B41" s="43" t="str">
        <f>A39 &amp; "." &amp; B39 &amp; "." &amp; C39 &amp; "-" &amp; B40</f>
        <v>v1.1.0-Better_Default</v>
      </c>
      <c r="C41" s="44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2026-06-19T03:37:03Z</dcterms:modified>
  <dc:language>en-US</dc:language>
</cp:coreProperties>
</file>