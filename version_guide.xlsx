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0E03C683-591C-43F5-98C2-393D406ABD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J4" i="1" s="1"/>
  <c r="I10" i="1" s="1"/>
  <c r="I15" i="1" s="1"/>
  <c r="I20" i="1" s="1"/>
  <c r="I25" i="1" s="1"/>
  <c r="I31" i="1" s="1"/>
  <c r="I37" i="1" s="1"/>
  <c r="I43" i="1" s="1"/>
  <c r="I50" i="1" s="1"/>
  <c r="B41" i="2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H7" i="1" l="1"/>
  <c r="H34" i="1"/>
  <c r="H40" i="1"/>
  <c r="H46" i="1"/>
  <c r="I56" i="1"/>
  <c r="H53" i="1"/>
  <c r="H17" i="1"/>
  <c r="H18" i="1" s="1"/>
  <c r="H21" i="1"/>
  <c r="A3" i="1"/>
  <c r="H12" i="1"/>
  <c r="H13" i="1" s="1"/>
  <c r="H26" i="1" l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<sst xmlns="http://schemas.openxmlformats.org/spreadsheetml/2006/main" count="210" uniqueCount="73">
  <si>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</si>
  <si>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</si>
  <si>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</si>
  <si>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</si>
  <si>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</si>
  <si>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</si>
  <si>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</si>
  <si>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</si>
  <si>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</si>
  <si>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</si>
  <si>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</si>
  <si>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</si>
  <si>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Reverted classic sun and moon</t>
  </si>
  <si>
    <t>VulkanMod compatibility (WIP)</t>
  </si>
  <si>
    <t>Resource Name</t>
  </si>
  <si>
    <t>Raised GLSL version for 1.20.2 and 1.21</t>
  </si>
  <si>
    <t>Resource Pack Release</t>
  </si>
  <si>
    <t>Reimproved environmental fog</t>
  </si>
  <si>
    <t>Resource Pack Build</t>
  </si>
  <si>
    <t>Fixed nether fog (1.21.6+)</t>
  </si>
  <si>
    <t>_SE_2</t>
  </si>
  <si>
    <t>Updated pack format versions for better compatibility</t>
  </si>
  <si>
    <t>Core version</t>
  </si>
  <si>
    <t>Updated item and entity shaders for 26.1-s6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</si>
  <si>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</si>
  <si>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</si>
  <si>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</si>
  <si>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</si>
  <si>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</si>
  <si>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</si>
  <si>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</si>
  <si>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</si>
  <si>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</si>
  <si>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</si>
  <si>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</si>
  <si>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</si>
  <si>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</si>
  <si>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</si>
  <si>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</si>
  <si>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</si>
  <si>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</si>
  <si>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</si>
  <si>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</si>
  <si>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</si>
  <si>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</si>
  <si>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</si>
  <si>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</si>
  <si>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</si>
  <si>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</si>
  <si>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</si>
  <si>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</si>
  <si>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</si>
  <si>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</si>
  <si>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</si>
  <si>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</si>
  <si>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</si>
  <si>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</si>
  <si>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</si>
  <si>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</si>
  <si>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</si>
  <si>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</si>
  <si>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</si>
  <si>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</si>
  <si>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</si>
  <si>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</si>
  <si>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</si>
  <si>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</si>
  <si>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</si>
  <si>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Removed fog banding</t>
  </si>
  <si>
    <t>Updated porkchop texture</t>
  </si>
  <si>
    <t>Updated GUI textures</t>
  </si>
  <si>
    <t>Undone 26.1 shader fix</t>
  </si>
  <si>
    <t>Improved cloud fog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</si>
</sst>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workbookViewId="0">
      <selection activeCell="B21" sqref="B21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" t="s">
        <v>0</v>
      </c>
      <c r="B1" s="1"/>
      <c r="C1" s="1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18" t="s">
        <v>2</v>
      </c>
      <c r="B2" s="18"/>
      <c r="C2" s="18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19" t="str">
        <f>G4 &amp; "." &amp; H4 &amp; "_" &amp; I4 &amp; "-build-" &amp; D3</f>
        <v>v10.0.11_1-build-5410-rt3</v>
      </c>
      <c r="B3" s="19"/>
      <c r="C3" s="19"/>
      <c r="D3" s="8" t="str">
        <f>SUM(2601,664,2026,119) &amp; "-rt3"</f>
        <v>5410-rt3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0" t="s">
        <v>10</v>
      </c>
      <c r="D4" s="21"/>
      <c r="E4" s="22"/>
      <c r="G4" s="8" t="s">
        <v>11</v>
      </c>
      <c r="H4" s="8">
        <v>11</v>
      </c>
      <c r="I4" s="8">
        <v>1</v>
      </c>
      <c r="J4" s="8" t="str">
        <f>D3</f>
        <v>5410-rt3</v>
      </c>
      <c r="K4" s="8">
        <v>26.1</v>
      </c>
    </row>
    <row r="5" spans="1:11" ht="16.5" x14ac:dyDescent="0.3">
      <c r="A5" s="6" t="s">
        <v>12</v>
      </c>
      <c r="B5" s="6"/>
      <c r="C5" s="23" t="s">
        <v>13</v>
      </c>
      <c r="D5" s="24"/>
      <c r="E5" s="25"/>
      <c r="G5" s="10" t="s">
        <v>14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15</v>
      </c>
      <c r="B6" s="6"/>
      <c r="C6" s="6"/>
      <c r="D6" s="6"/>
      <c r="E6" s="6"/>
      <c r="F6" s="6"/>
      <c r="G6" s="10" t="s">
        <v>16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17</v>
      </c>
      <c r="B7" s="6"/>
      <c r="C7" s="6"/>
      <c r="D7" s="6"/>
      <c r="E7" s="6"/>
      <c r="F7" s="6"/>
      <c r="G7" s="10" t="s">
        <v>18</v>
      </c>
      <c r="H7" s="11" t="str">
        <f>H6 &amp; "-build-" &amp; J4</f>
        <v>v10.0.11_1-Classic_Reimagined_10_SE_2.1-build-5410-rt3</v>
      </c>
      <c r="I7" s="12"/>
      <c r="J7" s="13"/>
      <c r="K7" s="6"/>
    </row>
    <row r="8" spans="1:11" ht="16.5" x14ac:dyDescent="0.3">
      <c r="A8" s="6" t="s">
        <v>19</v>
      </c>
      <c r="B8" s="6"/>
      <c r="C8" s="6"/>
      <c r="D8" s="6"/>
      <c r="E8" s="6"/>
      <c r="F8" s="6"/>
      <c r="G8" s="5" t="s">
        <v>20</v>
      </c>
      <c r="H8" s="6"/>
      <c r="I8" s="6"/>
      <c r="J8" s="6"/>
      <c r="K8" s="6"/>
    </row>
    <row r="9" spans="1:11" ht="16.5" x14ac:dyDescent="0.3">
      <c r="A9" s="6" t="s">
        <v>21</v>
      </c>
      <c r="B9" s="6"/>
      <c r="C9" s="6"/>
      <c r="D9" s="6"/>
      <c r="E9" s="6"/>
      <c r="F9" s="6"/>
      <c r="G9" s="4" t="s">
        <v>22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 t="s">
        <v>23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5410-rt3</v>
      </c>
      <c r="J10" s="8" t="s">
        <v>24</v>
      </c>
      <c r="K10" s="6"/>
    </row>
    <row r="11" spans="1:11" ht="16.5" x14ac:dyDescent="0.3">
      <c r="A11" s="6" t="s">
        <v>68</v>
      </c>
      <c r="B11" s="6"/>
      <c r="C11" s="6"/>
      <c r="D11" s="6"/>
      <c r="E11" s="6"/>
      <c r="F11" s="6"/>
      <c r="G11" s="10" t="s">
        <v>14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 t="s">
        <v>69</v>
      </c>
      <c r="B12" s="6"/>
      <c r="C12" s="6"/>
      <c r="D12" s="6"/>
      <c r="E12" s="6"/>
      <c r="F12" s="6"/>
      <c r="G12" s="10" t="s">
        <v>16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 t="s">
        <v>70</v>
      </c>
      <c r="B13" s="6"/>
      <c r="C13" s="6"/>
      <c r="D13" s="6"/>
      <c r="E13" s="6"/>
      <c r="F13" s="6"/>
      <c r="G13" s="10" t="s">
        <v>18</v>
      </c>
      <c r="H13" s="15" t="str">
        <f>H12 &amp; "-build-" &amp; I10</f>
        <v>v10.0.10-Classic_Reimagined_10_SE_2-build-5410-rt3</v>
      </c>
      <c r="I13" s="16"/>
      <c r="J13" s="6"/>
      <c r="K13" s="6"/>
    </row>
    <row r="14" spans="1:11" ht="16.5" x14ac:dyDescent="0.3">
      <c r="A14" s="6" t="s">
        <v>71</v>
      </c>
      <c r="B14" s="6"/>
      <c r="C14" s="6"/>
      <c r="D14" s="6"/>
      <c r="E14" s="6"/>
      <c r="F14" s="6"/>
      <c r="G14" s="4" t="s">
        <v>22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 t="s">
        <v>72</v>
      </c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5410-rt3</v>
      </c>
      <c r="J15" s="8" t="s">
        <v>25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14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16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18</v>
      </c>
      <c r="H18" s="15" t="str">
        <f>H17 &amp; "-build-" &amp; I15</f>
        <v>v10.0.9-Classic_Reimagined_10_SE_2-build-5410-rt3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22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5410-rt3</v>
      </c>
      <c r="J20" s="8" t="s">
        <v>26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14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16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18</v>
      </c>
      <c r="H23" s="15" t="str">
        <f>H22 &amp; "-build-" &amp; I20</f>
        <v>v10.0.7-Classic_Reimagined_10_SE_2-build-5410-rt3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22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5410-rt3</v>
      </c>
      <c r="J25" s="8" t="s">
        <v>27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14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16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18</v>
      </c>
      <c r="H28" s="15" t="str">
        <f>H27 &amp; "-build-" &amp; I25</f>
        <v>v10.0.4-Classic_Reimagined_10_SE_2-build-5410-rt3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28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22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5410-rt3</v>
      </c>
      <c r="J31" s="8" t="s">
        <v>29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14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16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18</v>
      </c>
      <c r="H34" s="15" t="str">
        <f>H33 &amp; "-build-" &amp; I31</f>
        <v>v10.0.3-Classic_Reimagined_10_SE-build-5410-rt3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30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22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5410-rt3</v>
      </c>
      <c r="J37" s="8" t="s">
        <v>31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14</v>
      </c>
      <c r="H38" s="15" t="s">
        <v>32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16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18</v>
      </c>
      <c r="H40" s="15" t="str">
        <f>H39 &amp; "-build-" &amp; I37</f>
        <v>v10.0.2-Classic_Reimagined_10s-build-5410-rt3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33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22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5410-rt3</v>
      </c>
      <c r="J43" s="8" t="s">
        <v>34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14</v>
      </c>
      <c r="H44" s="15" t="s">
        <v>35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16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18</v>
      </c>
      <c r="H46" s="15" t="str">
        <f>H45 &amp; "-build-" &amp; I43</f>
        <v>v10.0.1-Classic_Reimagined_10-build-5410-rt3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36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37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22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38</v>
      </c>
      <c r="H50" s="8">
        <v>32</v>
      </c>
      <c r="I50" s="8" t="str">
        <f>I43</f>
        <v>5410-rt3</v>
      </c>
      <c r="J50" s="8" t="s">
        <v>39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14</v>
      </c>
      <c r="H51" s="15" t="s">
        <v>40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16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18</v>
      </c>
      <c r="H53" s="15" t="str">
        <f>H52 &amp; "-build-" &amp; I50</f>
        <v>v8.10.32-Classic_Reimagined_8-build-5410-rt3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37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22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38</v>
      </c>
      <c r="H56" s="8">
        <v>31</v>
      </c>
      <c r="I56" s="8" t="str">
        <f>I50</f>
        <v>5410-rt3</v>
      </c>
      <c r="J56" s="8" t="s">
        <v>41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14</v>
      </c>
      <c r="H57" s="15" t="s">
        <v>40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16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18</v>
      </c>
      <c r="H59" s="15" t="str">
        <f>H58 &amp; "-build-" &amp; I56</f>
        <v>v8.10.31-Classic_Reimagined_8-build-5410-rt3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42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22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43</v>
      </c>
      <c r="H62" s="8">
        <v>3</v>
      </c>
      <c r="I62" s="8" t="str">
        <f>I56</f>
        <v>5410-rt3</v>
      </c>
      <c r="J62" s="8" t="s">
        <v>44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14</v>
      </c>
      <c r="H63" s="15" t="s">
        <v>45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16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18</v>
      </c>
      <c r="H65" s="15" t="str">
        <f>H64 &amp; "-build-" &amp; I62</f>
        <v>v7.11.3-Better_Default_7-build-5410-rt3</v>
      </c>
      <c r="I65" s="16"/>
      <c r="J65" s="6"/>
      <c r="K65" s="6"/>
    </row>
  </sheetData>
  <mergeCells count="4">
    <mergeCell ref="A2:C2"/>
    <mergeCell ref="A3:C3"/>
    <mergeCell ref="C4:E4"/>
    <mergeCell ref="C5:E5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28" t="s">
        <v>46</v>
      </c>
      <c r="B1" s="28"/>
      <c r="C1" s="28"/>
      <c r="D1" s="28"/>
    </row>
    <row r="2" spans="1:4" ht="16.5" x14ac:dyDescent="0.3">
      <c r="A2" s="5" t="s">
        <v>47</v>
      </c>
    </row>
    <row r="3" spans="1:4" ht="16.5" x14ac:dyDescent="0.3">
      <c r="A3" s="4" t="s">
        <v>22</v>
      </c>
      <c r="B3" s="4" t="s">
        <v>6</v>
      </c>
      <c r="C3" s="4" t="s">
        <v>48</v>
      </c>
      <c r="D3" s="4" t="s">
        <v>4</v>
      </c>
    </row>
    <row r="4" spans="1:4" ht="16.5" x14ac:dyDescent="0.3">
      <c r="A4" s="8" t="s">
        <v>49</v>
      </c>
      <c r="B4" s="8">
        <v>0</v>
      </c>
      <c r="C4" s="8">
        <v>7</v>
      </c>
      <c r="D4" s="8" t="s">
        <v>50</v>
      </c>
    </row>
    <row r="5" spans="1:4" ht="16.5" x14ac:dyDescent="0.3">
      <c r="A5" s="10" t="s">
        <v>14</v>
      </c>
      <c r="B5" s="26" t="s">
        <v>51</v>
      </c>
      <c r="C5" s="27"/>
      <c r="D5" s="14"/>
    </row>
    <row r="6" spans="1:4" ht="16.5" x14ac:dyDescent="0.3">
      <c r="A6" s="10" t="s">
        <v>18</v>
      </c>
      <c r="B6" s="26" t="str">
        <f>A4 &amp; "." &amp; B4 &amp; "." &amp; C4 &amp; "-" &amp; B5</f>
        <v>v6.0.7-Better_Default_6</v>
      </c>
      <c r="C6" s="27"/>
      <c r="D6" s="14"/>
    </row>
    <row r="7" spans="1:4" ht="16.5" x14ac:dyDescent="0.3">
      <c r="A7" s="5" t="s">
        <v>52</v>
      </c>
    </row>
    <row r="8" spans="1:4" ht="16.5" x14ac:dyDescent="0.3">
      <c r="A8" s="4" t="s">
        <v>22</v>
      </c>
      <c r="B8" s="4" t="s">
        <v>6</v>
      </c>
      <c r="C8" s="4" t="s">
        <v>48</v>
      </c>
      <c r="D8" s="4" t="s">
        <v>4</v>
      </c>
    </row>
    <row r="9" spans="1:4" ht="16.5" x14ac:dyDescent="0.3">
      <c r="A9" s="8" t="s">
        <v>53</v>
      </c>
      <c r="B9" s="8">
        <v>4</v>
      </c>
      <c r="C9" s="8">
        <v>0</v>
      </c>
      <c r="D9" s="8" t="s">
        <v>54</v>
      </c>
    </row>
    <row r="10" spans="1:4" ht="16.5" x14ac:dyDescent="0.3">
      <c r="A10" s="10" t="s">
        <v>14</v>
      </c>
      <c r="B10" s="26" t="s">
        <v>55</v>
      </c>
      <c r="C10" s="27"/>
      <c r="D10" s="14"/>
    </row>
    <row r="11" spans="1:4" ht="16.5" x14ac:dyDescent="0.3">
      <c r="A11" s="10" t="s">
        <v>18</v>
      </c>
      <c r="B11" s="26" t="str">
        <f>A9 &amp; "." &amp; B9 &amp; "." &amp; C9 &amp; "-" &amp; B10</f>
        <v>v1.4.0-Better_Default_5</v>
      </c>
      <c r="C11" s="27"/>
      <c r="D11" s="14"/>
    </row>
    <row r="12" spans="1:4" ht="16.5" x14ac:dyDescent="0.3">
      <c r="A12" s="5" t="s">
        <v>56</v>
      </c>
    </row>
    <row r="13" spans="1:4" ht="16.5" x14ac:dyDescent="0.3">
      <c r="A13" s="4" t="s">
        <v>22</v>
      </c>
      <c r="B13" s="4" t="s">
        <v>6</v>
      </c>
      <c r="C13" s="4" t="s">
        <v>48</v>
      </c>
      <c r="D13" s="4" t="s">
        <v>4</v>
      </c>
    </row>
    <row r="14" spans="1:4" ht="16.5" x14ac:dyDescent="0.3">
      <c r="A14" s="8" t="s">
        <v>53</v>
      </c>
      <c r="B14" s="8">
        <v>3</v>
      </c>
      <c r="C14" s="8">
        <v>0</v>
      </c>
      <c r="D14" s="8" t="s">
        <v>57</v>
      </c>
    </row>
    <row r="15" spans="1:4" ht="16.5" x14ac:dyDescent="0.3">
      <c r="A15" s="10" t="s">
        <v>14</v>
      </c>
      <c r="B15" s="26" t="s">
        <v>58</v>
      </c>
      <c r="C15" s="27"/>
      <c r="D15" s="14"/>
    </row>
    <row r="16" spans="1:4" ht="16.5" x14ac:dyDescent="0.3">
      <c r="A16" s="10" t="s">
        <v>18</v>
      </c>
      <c r="B16" s="26" t="str">
        <f>A14 &amp; "." &amp; B14 &amp; "." &amp; C14 &amp; "-" &amp; B15</f>
        <v>v1.3.0-Better_Default_4</v>
      </c>
      <c r="C16" s="27"/>
      <c r="D16" s="14"/>
    </row>
    <row r="17" spans="1:4" ht="16.5" x14ac:dyDescent="0.3">
      <c r="A17" s="5" t="s">
        <v>59</v>
      </c>
    </row>
    <row r="18" spans="1:4" ht="16.5" x14ac:dyDescent="0.3">
      <c r="A18" s="4" t="s">
        <v>22</v>
      </c>
      <c r="B18" s="4" t="s">
        <v>6</v>
      </c>
      <c r="C18" s="4" t="s">
        <v>48</v>
      </c>
      <c r="D18" s="4" t="s">
        <v>4</v>
      </c>
    </row>
    <row r="19" spans="1:4" ht="16.5" x14ac:dyDescent="0.3">
      <c r="A19" s="8" t="s">
        <v>53</v>
      </c>
      <c r="B19" s="8">
        <v>2</v>
      </c>
      <c r="C19" s="8">
        <v>2</v>
      </c>
      <c r="D19" s="8" t="s">
        <v>60</v>
      </c>
    </row>
    <row r="20" spans="1:4" ht="16.5" x14ac:dyDescent="0.3">
      <c r="A20" s="10" t="s">
        <v>14</v>
      </c>
      <c r="B20" s="26" t="s">
        <v>61</v>
      </c>
      <c r="C20" s="27"/>
      <c r="D20" s="14"/>
    </row>
    <row r="21" spans="1:4" ht="16.5" x14ac:dyDescent="0.3">
      <c r="A21" s="10" t="s">
        <v>18</v>
      </c>
      <c r="B21" s="26" t="str">
        <f>A19 &amp; "." &amp; B19 &amp; "." &amp; C19 &amp; "-" &amp; B20</f>
        <v>v1.2.2-Better_Default_3.1</v>
      </c>
      <c r="C21" s="27"/>
      <c r="D21" s="14"/>
    </row>
    <row r="22" spans="1:4" ht="16.5" x14ac:dyDescent="0.3">
      <c r="A22" s="5" t="s">
        <v>59</v>
      </c>
    </row>
    <row r="23" spans="1:4" ht="16.5" x14ac:dyDescent="0.3">
      <c r="A23" s="4" t="s">
        <v>22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53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14</v>
      </c>
      <c r="B25" s="26" t="s">
        <v>62</v>
      </c>
      <c r="C25" s="27"/>
      <c r="D25" s="14"/>
    </row>
    <row r="26" spans="1:4" ht="16.5" x14ac:dyDescent="0.3">
      <c r="A26" s="10" t="s">
        <v>18</v>
      </c>
      <c r="B26" s="26" t="str">
        <f>A24 &amp; "." &amp; B24 &amp; "." &amp; C24 &amp; "-" &amp; B25</f>
        <v>v1.2.1-Better_Default_3</v>
      </c>
      <c r="C26" s="27"/>
      <c r="D26" s="14"/>
    </row>
    <row r="27" spans="1:4" ht="16.5" x14ac:dyDescent="0.3">
      <c r="A27" s="5" t="s">
        <v>63</v>
      </c>
    </row>
    <row r="28" spans="1:4" ht="16.5" x14ac:dyDescent="0.3">
      <c r="A28" s="4" t="s">
        <v>22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53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14</v>
      </c>
      <c r="B30" s="26" t="s">
        <v>64</v>
      </c>
      <c r="C30" s="27"/>
      <c r="D30" s="14"/>
    </row>
    <row r="31" spans="1:4" ht="16.5" x14ac:dyDescent="0.3">
      <c r="A31" s="10" t="s">
        <v>18</v>
      </c>
      <c r="B31" s="26" t="str">
        <f>A29 &amp; "." &amp; B29 &amp; "." &amp; C29 &amp; "-" &amp; B30</f>
        <v>v1.2.0-Better_Default_2</v>
      </c>
      <c r="C31" s="27"/>
      <c r="D31" s="14"/>
    </row>
    <row r="32" spans="1:4" ht="16.5" x14ac:dyDescent="0.3">
      <c r="A32" s="5" t="s">
        <v>65</v>
      </c>
    </row>
    <row r="33" spans="1:4" ht="16.5" x14ac:dyDescent="0.3">
      <c r="A33" s="4" t="s">
        <v>22</v>
      </c>
      <c r="B33" s="4" t="s">
        <v>6</v>
      </c>
      <c r="C33" s="4" t="s">
        <v>48</v>
      </c>
      <c r="D33" s="4" t="s">
        <v>4</v>
      </c>
    </row>
    <row r="34" spans="1:4" ht="16.5" x14ac:dyDescent="0.3">
      <c r="A34" s="8" t="s">
        <v>53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14</v>
      </c>
      <c r="B35" s="26" t="s">
        <v>66</v>
      </c>
      <c r="C35" s="27"/>
      <c r="D35" s="14"/>
    </row>
    <row r="36" spans="1:4" ht="16.5" x14ac:dyDescent="0.3">
      <c r="A36" s="10" t="s">
        <v>18</v>
      </c>
      <c r="B36" s="26" t="str">
        <f>A34 &amp; "." &amp; B34 &amp; "." &amp; C34 &amp; "-" &amp; B35</f>
        <v>v1.1.1-Better_Default</v>
      </c>
      <c r="C36" s="27"/>
      <c r="D36" s="14"/>
    </row>
    <row r="37" spans="1:4" ht="16.5" x14ac:dyDescent="0.3">
      <c r="A37" s="5" t="s">
        <v>67</v>
      </c>
    </row>
    <row r="38" spans="1:4" ht="16.5" x14ac:dyDescent="0.3">
      <c r="A38" s="4" t="s">
        <v>22</v>
      </c>
      <c r="B38" s="4" t="s">
        <v>6</v>
      </c>
      <c r="C38" s="4" t="s">
        <v>48</v>
      </c>
      <c r="D38" s="4" t="s">
        <v>4</v>
      </c>
    </row>
    <row r="39" spans="1:4" ht="16.5" x14ac:dyDescent="0.3">
      <c r="A39" s="8" t="s">
        <v>53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14</v>
      </c>
      <c r="B40" s="26" t="s">
        <v>66</v>
      </c>
      <c r="C40" s="27"/>
      <c r="D40" s="14"/>
    </row>
    <row r="41" spans="1:4" ht="16.5" x14ac:dyDescent="0.3">
      <c r="A41" s="10" t="s">
        <v>18</v>
      </c>
      <c r="B41" s="26" t="str">
        <f>A39 &amp; "." &amp; B39 &amp; "." &amp; C39 &amp; "-" &amp; B40</f>
        <v>v1.1.0-Better_Default</v>
      </c>
      <c r="C41" s="27"/>
      <c r="D41" s="14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2026-02-18T02:38:36Z</dcterms:modified>
  <dc:language>en-US</dc:language>
</cp:coreProperties>
</file>