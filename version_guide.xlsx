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6127E2A9-A6EF-471A-A31E-66E577BDC2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3" i="1" s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7" i="1"/>
  <c r="H40" i="1"/>
  <c r="H46" i="1"/>
  <c r="I56" i="1"/>
  <c r="H53" i="1"/>
  <c r="H17" i="1"/>
  <c r="H18" i="1" s="1"/>
  <c r="H21" i="1"/>
  <c r="A3" i="1"/>
  <c r="H12" i="1"/>
  <c r="H13" i="1" s="1"/>
  <c r="H34" i="1" l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<sst xmlns="http://schemas.openxmlformats.org/spreadsheetml/2006/main" count="202" uniqueCount="65">
  <si>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</si>
  <si>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</si>
  <si>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</si>
  <si>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</si>
  <si>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</si>
  <si>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</si>
  <si>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</si>
  <si>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</si>
  <si>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</si>
  <si>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</si>
  <si>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</si>
  <si>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</si>
  <si>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</si>
  <si>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</si>
  <si>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</si>
  <si>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</si>
  <si>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</si>
  <si>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</si>
  <si>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</si>
  <si>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</si>
  <si>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</si>
  <si>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</si>
  <si>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</si>
  <si>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</si>
  <si>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</si>
  <si>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</si>
  <si>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</si>
  <si>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</si>
  <si>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</si>
  <si>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</si>
  <si>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</si>
  <si>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</si>
  <si>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</si>
  <si>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</si>
  <si>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</si>
  <si>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</si>
  <si>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</si>
  <si>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</si>
  <si>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</si>
  <si>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</si>
  <si>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</si>
  <si>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</si>
  <si>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</si>
  <si>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</si>
  <si>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</si>
  <si>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</si>
  <si>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</si>
  <si>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</si>
  <si>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</si>
  <si>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</si>
  <si>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</si>
  <si>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</si>
  <si>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</si>
  <si>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</si>
  <si>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</si>
  <si>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</si>
  <si>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</si>
  <si>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</si>
  <si>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</si>
  <si>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</si>
  <si>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</si>
  <si>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</si>
  <si>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Created Classic Reimagined Lite</t>
  </si>
  <si>
    <t>Lite version</t>
  </si>
  <si>
    <t>Update fog/discard behavior and lightmap sampling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</si>
</sst>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3" fillId="0" borderId="1" xfId="0" applyFont="1" applyBorder="1"/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B16" sqref="B16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4" t="s">
        <v>2</v>
      </c>
      <c r="B2" s="25" t="s">
        <v>63</v>
      </c>
      <c r="C2" s="26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18" t="str">
        <f>G4 &amp; "." &amp; H4 &amp; "_" &amp; I4 &amp; "-build-" &amp; D3</f>
        <v>v10.0.11_1-build-5436-rt4</v>
      </c>
      <c r="B3" s="27" t="str">
        <f>"v1.2.7_1-build-" &amp; D3 &amp; "-" &amp; E3</f>
        <v>v1.2.7_1-build-5436-rt4-26.1</v>
      </c>
      <c r="C3" s="28"/>
      <c r="D3" s="8" t="str">
        <f>SUM(2601,664,2026,145) &amp; "-rt4"</f>
        <v>5436-rt4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19" t="s">
        <v>10</v>
      </c>
      <c r="D4" s="20"/>
      <c r="E4" s="21"/>
      <c r="G4" s="8" t="s">
        <v>11</v>
      </c>
      <c r="H4" s="8">
        <v>11</v>
      </c>
      <c r="I4" s="8">
        <v>1</v>
      </c>
      <c r="J4" s="8" t="str">
        <f>D3</f>
        <v>5436-rt4</v>
      </c>
      <c r="K4" s="8">
        <v>26.1</v>
      </c>
    </row>
    <row r="5" spans="1:11" ht="16.5" x14ac:dyDescent="0.3">
      <c r="A5" s="6" t="s">
        <v>62</v>
      </c>
      <c r="B5" s="6"/>
      <c r="C5" s="22" t="s">
        <v>12</v>
      </c>
      <c r="D5" s="23"/>
      <c r="E5" s="24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64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/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v10.0.11_1-Classic_Reimagined_10_SE_2.1-build-5436-rt4</v>
      </c>
      <c r="I7" s="12"/>
      <c r="J7" s="13"/>
      <c r="K7" s="6"/>
    </row>
    <row r="8" spans="1:11" ht="16.5" x14ac:dyDescent="0.3">
      <c r="A8" s="6"/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/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/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5436-rt4</v>
      </c>
      <c r="J10" s="8" t="s">
        <v>18</v>
      </c>
      <c r="K10" s="6"/>
    </row>
    <row r="11" spans="1:11" ht="16.5" x14ac:dyDescent="0.3">
      <c r="A11" s="6"/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/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v10.0.10-Classic_Reimagined_10_SE_2-build-5436-rt4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5436-rt4</v>
      </c>
      <c r="J15" s="8" t="s">
        <v>19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v10.0.9-Classic_Reimagined_10_SE_2-build-5436-rt4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5436-rt4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v10.0.7-Classic_Reimagined_10_SE_2-build-5436-rt4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5436-rt4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v10.0.4-Classic_Reimagined_10_SE_2-build-5436-rt4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5436-rt4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v10.0.3-Classic_Reimagined_10_SE-build-5436-rt4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5436-rt4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v10.0.2-Classic_Reimagined_10s-build-5436-rt4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5436-rt4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v10.0.1-Classic_Reimagined_10-build-5436-rt4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5436-rt4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v8.10.32-Classic_Reimagined_8-build-5436-rt4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5436-rt4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v8.10.31-Classic_Reimagined_8-build-5436-rt4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5436-rt4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v7.11.3-Better_Default_7-build-5436-rt4</v>
      </c>
      <c r="I65" s="16"/>
      <c r="J65" s="6"/>
      <c r="K65" s="6"/>
    </row>
  </sheetData>
  <mergeCells count="4">
    <mergeCell ref="C4:E4"/>
    <mergeCell ref="C5:E5"/>
    <mergeCell ref="B2:C2"/>
    <mergeCell ref="B3:C3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1" t="s">
        <v>40</v>
      </c>
      <c r="B1" s="31"/>
      <c r="C1" s="31"/>
      <c r="D1" s="31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29" t="s">
        <v>45</v>
      </c>
      <c r="C5" s="30"/>
      <c r="D5" s="14"/>
    </row>
    <row r="6" spans="1:4" ht="16.5" x14ac:dyDescent="0.3">
      <c r="A6" s="10" t="s">
        <v>15</v>
      </c>
      <c r="B6" s="29" t="str">
        <f>A4 &amp; "." &amp; B4 &amp; "." &amp; C4 &amp; "-" &amp; B5</f>
        <v>v6.0.7-Better_Default_6</v>
      </c>
      <c r="C6" s="30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29" t="s">
        <v>49</v>
      </c>
      <c r="C10" s="30"/>
      <c r="D10" s="14"/>
    </row>
    <row r="11" spans="1:4" ht="16.5" x14ac:dyDescent="0.3">
      <c r="A11" s="10" t="s">
        <v>15</v>
      </c>
      <c r="B11" s="29" t="str">
        <f>A9 &amp; "." &amp; B9 &amp; "." &amp; C9 &amp; "-" &amp; B10</f>
        <v>v1.4.0-Better_Default_5</v>
      </c>
      <c r="C11" s="30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29" t="s">
        <v>52</v>
      </c>
      <c r="C15" s="30"/>
      <c r="D15" s="14"/>
    </row>
    <row r="16" spans="1:4" ht="16.5" x14ac:dyDescent="0.3">
      <c r="A16" s="10" t="s">
        <v>15</v>
      </c>
      <c r="B16" s="29" t="str">
        <f>A14 &amp; "." &amp; B14 &amp; "." &amp; C14 &amp; "-" &amp; B15</f>
        <v>v1.3.0-Better_Default_4</v>
      </c>
      <c r="C16" s="30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29" t="s">
        <v>55</v>
      </c>
      <c r="C20" s="30"/>
      <c r="D20" s="14"/>
    </row>
    <row r="21" spans="1:4" ht="16.5" x14ac:dyDescent="0.3">
      <c r="A21" s="10" t="s">
        <v>15</v>
      </c>
      <c r="B21" s="29" t="str">
        <f>A19 &amp; "." &amp; B19 &amp; "." &amp; C19 &amp; "-" &amp; B20</f>
        <v>v1.2.2-Better_Default_3.1</v>
      </c>
      <c r="C21" s="30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29" t="s">
        <v>56</v>
      </c>
      <c r="C25" s="30"/>
      <c r="D25" s="14"/>
    </row>
    <row r="26" spans="1:4" ht="16.5" x14ac:dyDescent="0.3">
      <c r="A26" s="10" t="s">
        <v>15</v>
      </c>
      <c r="B26" s="29" t="str">
        <f>A24 &amp; "." &amp; B24 &amp; "." &amp; C24 &amp; "-" &amp; B25</f>
        <v>v1.2.1-Better_Default_3</v>
      </c>
      <c r="C26" s="30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29" t="s">
        <v>58</v>
      </c>
      <c r="C30" s="30"/>
      <c r="D30" s="14"/>
    </row>
    <row r="31" spans="1:4" ht="16.5" x14ac:dyDescent="0.3">
      <c r="A31" s="10" t="s">
        <v>15</v>
      </c>
      <c r="B31" s="29" t="str">
        <f>A29 &amp; "." &amp; B29 &amp; "." &amp; C29 &amp; "-" &amp; B30</f>
        <v>v1.2.0-Better_Default_2</v>
      </c>
      <c r="C31" s="30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29" t="s">
        <v>60</v>
      </c>
      <c r="C35" s="30"/>
      <c r="D35" s="14"/>
    </row>
    <row r="36" spans="1:4" ht="16.5" x14ac:dyDescent="0.3">
      <c r="A36" s="10" t="s">
        <v>15</v>
      </c>
      <c r="B36" s="29" t="str">
        <f>A34 &amp; "." &amp; B34 &amp; "." &amp; C34 &amp; "-" &amp; B35</f>
        <v>v1.1.1-Better_Default</v>
      </c>
      <c r="C36" s="30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29" t="s">
        <v>60</v>
      </c>
      <c r="C40" s="30"/>
      <c r="D40" s="14"/>
    </row>
    <row r="41" spans="1:4" ht="16.5" x14ac:dyDescent="0.3">
      <c r="A41" s="10" t="s">
        <v>15</v>
      </c>
      <c r="B41" s="29" t="str">
        <f>A39 &amp; "." &amp; B39 &amp; "." &amp; C39 &amp; "-" &amp; B40</f>
        <v>v1.1.0-Better_Default</v>
      </c>
      <c r="C41" s="30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2026-02-28T23:35:11Z</dcterms:modified>
  <dc:language>en-US</dc:language>
</cp:coreProperties>
</file>